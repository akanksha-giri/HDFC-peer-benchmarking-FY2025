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4"/>
  </bookViews>
  <sheets>
    <sheet name="README" sheetId="1" r:id="rId1"/>
    <sheet name="Raw Data" sheetId="2" r:id="rId2"/>
    <sheet name="Peer Comparison" sheetId="4" r:id="rId3"/>
    <sheet name="KPI Dashboard" sheetId="3" r:id="rId4"/>
    <sheet name="Analyst Insights" sheetId="5" r:id="rId5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4"/>
  <c r="G9"/>
  <c r="G7"/>
  <c r="G6"/>
  <c r="D17" i="3"/>
  <c r="E17"/>
  <c r="F17"/>
  <c r="C17"/>
  <c r="D19"/>
  <c r="E19"/>
  <c r="F19"/>
  <c r="C19"/>
  <c r="D16"/>
  <c r="E16"/>
  <c r="F16"/>
  <c r="C16"/>
  <c r="D14"/>
  <c r="E14"/>
  <c r="F14"/>
  <c r="C14"/>
  <c r="D13"/>
  <c r="E13"/>
  <c r="F13"/>
  <c r="C13"/>
  <c r="F10"/>
  <c r="D8"/>
  <c r="E8"/>
  <c r="F8"/>
  <c r="C8"/>
  <c r="D7"/>
  <c r="E7"/>
  <c r="F7"/>
  <c r="C7"/>
  <c r="D6"/>
  <c r="E6"/>
  <c r="F6"/>
  <c r="C6"/>
  <c r="D10" i="4"/>
  <c r="E10"/>
  <c r="F10"/>
  <c r="C10"/>
  <c r="D11"/>
  <c r="E11"/>
  <c r="F11"/>
  <c r="C11"/>
  <c r="D9"/>
  <c r="E9"/>
  <c r="F9"/>
  <c r="C9"/>
  <c r="D8"/>
  <c r="E8"/>
  <c r="F8"/>
  <c r="C8"/>
  <c r="D7"/>
  <c r="E7"/>
  <c r="F7"/>
  <c r="C7"/>
  <c r="F6"/>
  <c r="E6"/>
  <c r="D6"/>
  <c r="C6"/>
  <c r="E5"/>
  <c r="F5"/>
  <c r="C5"/>
  <c r="D5"/>
  <c r="F10" i="2"/>
  <c r="F8"/>
  <c r="E8"/>
  <c r="E10" s="1"/>
  <c r="D8" l="1"/>
  <c r="D10" s="1"/>
  <c r="G11" i="4"/>
  <c r="G8"/>
  <c r="G5"/>
  <c r="C8" i="2" l="1"/>
  <c r="C10" s="1"/>
  <c r="D11" i="3" l="1"/>
  <c r="D10"/>
  <c r="F11" l="1"/>
  <c r="C11"/>
  <c r="C10"/>
  <c r="E11"/>
  <c r="E10"/>
</calcChain>
</file>

<file path=xl/sharedStrings.xml><?xml version="1.0" encoding="utf-8"?>
<sst xmlns="http://schemas.openxmlformats.org/spreadsheetml/2006/main" count="112" uniqueCount="104">
  <si>
    <t>Analyst: Akanksha Giri  |  Date: June 2026  |  Data: FY2025 Annual Reports</t>
  </si>
  <si>
    <t>PURPOSE</t>
  </si>
  <si>
    <t>Benchmark HDFC Bank's key performance metrics against Indian banking peers (ICICI, Axis, Kotak) using the most recent full-year data (FY2025, year ending March 31 2025). Identify efficiency gaps and strategic opportunities.</t>
  </si>
  <si>
    <t>DATA SOURCES</t>
  </si>
  <si>
    <t>HDFC Bank Annual Report FY2025, ICICI Bank Annual Report FY2025, Axis Bank Annual Report FY2025, Kotak Mahindra Bank Annual Report FY2025. All figures publicly available from company investor relations pages.</t>
  </si>
  <si>
    <t>SHEETS</t>
  </si>
  <si>
    <t>COLOR CODE</t>
  </si>
  <si>
    <t>Blue text = hardcoded inputs from annual reports  |  Black text = formulas  |  Green background = best-in-class  |  Orange background = lagging peer</t>
  </si>
  <si>
    <t>HOW TO USE</t>
  </si>
  <si>
    <t>Update blue cells in 'Raw Data' with new figures. All KPIs recalculate automatically.</t>
  </si>
  <si>
    <t>Source: Company Annual Reports FY2025  |  All figures in ₹ Crore unless noted  |  Blue = hardcoded inputs</t>
  </si>
  <si>
    <t>METRIC</t>
  </si>
  <si>
    <t>HDFC Bank</t>
  </si>
  <si>
    <t>ICICI Bank</t>
  </si>
  <si>
    <t>Axis Bank</t>
  </si>
  <si>
    <t>Kotak Mah.</t>
  </si>
  <si>
    <t>INCOME STATEMENT</t>
  </si>
  <si>
    <t>Net Interest Income (NII)</t>
  </si>
  <si>
    <t>Total Operating Income</t>
  </si>
  <si>
    <t>Operating Expenses</t>
  </si>
  <si>
    <t>Pre-Provision Profit (PPP)</t>
  </si>
  <si>
    <t>Provisions &amp; Contingencies</t>
  </si>
  <si>
    <t>Net Profit (PAT)</t>
  </si>
  <si>
    <t>BALANCE SHEET</t>
  </si>
  <si>
    <t>Total Assets</t>
  </si>
  <si>
    <t>Net Advances (Loans)</t>
  </si>
  <si>
    <t>Total Deposits</t>
  </si>
  <si>
    <t>CASA Deposits</t>
  </si>
  <si>
    <t>Shareholders Equity</t>
  </si>
  <si>
    <t>OTHER INPUTS</t>
  </si>
  <si>
    <t>Number of Branches</t>
  </si>
  <si>
    <t>Risk-Weighted Assets (RWA)</t>
  </si>
  <si>
    <t>KPI</t>
  </si>
  <si>
    <t>What It Measures</t>
  </si>
  <si>
    <t>Net Interest Margin (NIM)</t>
  </si>
  <si>
    <t>Return on Assets (RoA)</t>
  </si>
  <si>
    <t>Return on Equity (RoE)</t>
  </si>
  <si>
    <t>Cost-to-Income Ratio (CIR)</t>
  </si>
  <si>
    <t>Cost per Branch (₹ Cr)</t>
  </si>
  <si>
    <t>Gross NPA Ratio</t>
  </si>
  <si>
    <t>Net NPA Ratio</t>
  </si>
  <si>
    <t>CASA Ratio</t>
  </si>
  <si>
    <t>Credit-Deposit (CD) Ratio</t>
  </si>
  <si>
    <t>Tier 1 Capital Ratio</t>
  </si>
  <si>
    <t>PEER COMPARISON — RANKED BENCHMARKING TABLE  (FY2025)</t>
  </si>
  <si>
    <t>HDFC</t>
  </si>
  <si>
    <t>ICICI</t>
  </si>
  <si>
    <t>Axis</t>
  </si>
  <si>
    <t>Kotak</t>
  </si>
  <si>
    <t>Leader</t>
  </si>
  <si>
    <t>Strategic Implication</t>
  </si>
  <si>
    <t>NIM (%)</t>
  </si>
  <si>
    <t>RoA (%)</t>
  </si>
  <si>
    <t>RoE (%)</t>
  </si>
  <si>
    <t>Cost-to-Income (%)</t>
  </si>
  <si>
    <t>Gross NPA (%)</t>
  </si>
  <si>
    <t>CASA Ratio (%)</t>
  </si>
  <si>
    <t>Tier 1 Ratio (%)</t>
  </si>
  <si>
    <t>Author: Akanksha Giri  |  Data: FY2025 Annual Reports  |  Coverage: HDFC, ICICI, Axis, Kotak</t>
  </si>
  <si>
    <t>EXECUTIVE SUMMARY</t>
  </si>
  <si>
    <t>DATA NOTE</t>
  </si>
  <si>
    <t>All figures sourced from FY2025 Annual Reports published by each company on their investor relations pages (year ending March 31, 2025). Ratios are independently calculated; minor variance from company-disclosed figures may reflect rounding or definitional differences. This is an independent analytical exercise and does not constitute investment advice.</t>
  </si>
  <si>
    <t>ANALYST INSIGHTS - HDFC BANK PEER BENCHMARKING COMMENTARY</t>
  </si>
  <si>
    <t>HDFC BANK - PERFORMANCE BENCHMARKING ANALYSIS</t>
  </si>
  <si>
    <t>1. README  2. Raw Data -sourced inputs (blue text)  3. KPI Dashboard - calculated ratios  4. Peer Comparison -ranked benchmark table  5. Analyst Insights</t>
  </si>
  <si>
    <t>RAW DATA - FY2025 ANNUAL REPORT INPUTS (Year ending March 31, 2025)</t>
  </si>
  <si>
    <t xml:space="preserve"> PROFITABILITY</t>
  </si>
  <si>
    <t xml:space="preserve"> EFFICIENCY </t>
  </si>
  <si>
    <t xml:space="preserve"> ASSET QUALITY </t>
  </si>
  <si>
    <t xml:space="preserve"> LIQUIDITY &amp; FUNDING</t>
  </si>
  <si>
    <t xml:space="preserve"> CAPITAL ADEQUACY</t>
  </si>
  <si>
    <t>KPI DASHBOARD - CALCULATED RATIOS FY2025</t>
  </si>
  <si>
    <t>Kotak earns highest spread per ₹ of assets - superior loan pricing power</t>
  </si>
  <si>
    <t>ICICI most operationally lean - HDFC has meaningful room to reduce CIR</t>
  </si>
  <si>
    <t>Kotak most well-capitalised - lowest regulatory and solvency risk</t>
  </si>
  <si>
    <t>other Income</t>
  </si>
  <si>
    <t>Note: Figures sourced from FY2025 Annual Reports (year ending March 31, 2025). Minor rounding applied.</t>
  </si>
  <si>
    <t>Higher = more efficient utilisation of total assets.</t>
  </si>
  <si>
    <t>Higher = Returns generated for shareholders</t>
  </si>
  <si>
    <t>Lower = more efficient cost management.</t>
  </si>
  <si>
    <t>Lower = more cost-efficient branch operations.</t>
  </si>
  <si>
    <t>Lower = stronger loan recovery and provisioning quality.</t>
  </si>
  <si>
    <t>Higher = cheaper funding</t>
  </si>
  <si>
    <t>Optimal range = balanced lending and liquidity management.</t>
  </si>
  <si>
    <t>Higher = stronger capital adequacy and financial resilience.</t>
  </si>
  <si>
    <t>Higher = stronger lending profitability</t>
  </si>
  <si>
    <t>Lower = better asset quality</t>
  </si>
  <si>
    <r>
      <t>This analysis benchmarks HDFC Bank against three private sector peers - ICICI, Axis, and Kotak across five performance areas using FY2025 data. The overall picture shows</t>
    </r>
    <r>
      <rPr>
        <b/>
        <sz val="10"/>
        <color rgb="FF000000"/>
        <rFont val="Arial"/>
        <family val="2"/>
      </rPr>
      <t xml:space="preserve"> HDFC</t>
    </r>
    <r>
      <rPr>
        <sz val="10"/>
        <color rgb="FF000000"/>
        <rFont val="Arial"/>
        <charset val="1"/>
      </rPr>
      <t xml:space="preserve"> is a solid, well-run bank but not the outright leader in any single category. </t>
    </r>
    <r>
      <rPr>
        <b/>
        <sz val="10"/>
        <color rgb="FF000000"/>
        <rFont val="Arial"/>
        <family val="2"/>
      </rPr>
      <t xml:space="preserve">Kotak </t>
    </r>
    <r>
      <rPr>
        <sz val="10"/>
        <color rgb="FF000000"/>
        <rFont val="Arial"/>
        <charset val="1"/>
      </rPr>
      <t>leads on profitability and capital strength.</t>
    </r>
    <r>
      <rPr>
        <b/>
        <sz val="10"/>
        <color rgb="FF000000"/>
        <rFont val="Arial"/>
        <family val="2"/>
      </rPr>
      <t xml:space="preserve"> ICICI</t>
    </r>
    <r>
      <rPr>
        <sz val="10"/>
        <color rgb="FF000000"/>
        <rFont val="Arial"/>
        <charset val="1"/>
      </rPr>
      <t xml:space="preserve"> leads on efficiency. </t>
    </r>
    <r>
      <rPr>
        <b/>
        <sz val="10"/>
        <color rgb="FF000000"/>
        <rFont val="Arial"/>
        <family val="2"/>
      </rPr>
      <t>HDFC's</t>
    </r>
    <r>
      <rPr>
        <sz val="10"/>
        <color rgb="FF000000"/>
        <rFont val="Arial"/>
        <charset val="1"/>
      </rPr>
      <t xml:space="preserve"> clearest advantage is its funding base. </t>
    </r>
    <r>
      <rPr>
        <b/>
        <sz val="10"/>
        <color rgb="FF000000"/>
        <rFont val="Arial"/>
        <family val="2"/>
      </rPr>
      <t>Axis</t>
    </r>
    <r>
      <rPr>
        <sz val="10"/>
        <color rgb="FF000000"/>
        <rFont val="Arial"/>
        <charset val="1"/>
      </rPr>
      <t xml:space="preserve"> consistently trails the group.</t>
    </r>
  </si>
  <si>
    <t>1. PROFITABILITY - KOTAK LEADS, HDFC IS MID-TABLE</t>
  </si>
  <si>
    <t>Kotak Mahindra is the standout performer - highest NIM (4.96%), highest RoA (1.87% vs HDFC's 1.72%), and the only bank with RoE above 10% adjusted for scale pressures. ICICI leads on RoE at 16.17%, while HDFC at 13.43% is the second-lowest in the group. HDFC's large balance sheet works against it here - more assets to generate returns from means the ratios are harder to move.</t>
  </si>
  <si>
    <t>2. EFFICIENCY - ICICI IS THE BENCHMARK TO BEAT</t>
  </si>
  <si>
    <t>ICICI's CIR of 38.64% is the best in the group by a clear margin. HDFC at 40.51% is second, which is actually a creditable position - Axis at 47.11% and Kotak at 43.36% both lag. On cost per branch, ICICI again leads at ₹6.07 Cr vs HDFC's ₹7.21 Cr. The message is that HDFC is reasonably efficient, but ICICI runs a tighter operation.</t>
  </si>
  <si>
    <t>3. ASSET QUALITY -  HDFC AND AXIS TIE FOR BEST BOOK</t>
  </si>
  <si>
    <t>This is HDFC's strongest area. Gross NPA of 1.33% is the lowest in the peer group alongside Axis (1.28%). Net NPA of 0.43% is also sector-leading. ICICI carries the highest NPA burden at 1.73% Gross and 0.39% Net. Clean asset quality means HDFC spends less on provisions - protecting profitability even when the economy slows.</t>
  </si>
  <si>
    <t>4. FUNDING STRENGTH - KOTAK HAS THE CHEAPEST DEPOSITS</t>
  </si>
  <si>
    <t>Kotak leads CASA at 43.34%, with ICICI close behind at 41.84%. HDFC at 34.80% is actually the lowest in the group - a notable shift from its historical strength. This matters because a lower CASA ratio means HDFC pays more to fund its loans, which directly pressures margins. On CD ratio, HDFC at 96.50% is the most stretched lender - lending out nearly all its deposits, leaving limited buffer.</t>
  </si>
  <si>
    <t>5. CAPITAL ADEQUACY - KOTAK IS THE SAFEST, AXIS THE WEAKEST</t>
  </si>
  <si>
    <t>Kotak's Tier 1 ratio of 21.10% is the highest - well above the regulatory minimum and reflecting a conservatively run balance sheet. HDFC at 17.69% and ICICI at 15.94% are both comfortable. Axis at 15.07% is the lowest and warrants watching if credit conditions tighten.</t>
  </si>
  <si>
    <t>ICICI leads on asset productivity - strongest earnings engine at scale</t>
  </si>
  <si>
    <t>ICICI delivers highest shareholder return - capital efficiency advantage</t>
  </si>
  <si>
    <t xml:space="preserve">Axis has cleanest book </t>
  </si>
  <si>
    <t>Kotak has cheapest funding mix - structural cost-of-funds advantage</t>
  </si>
  <si>
    <t>Green = Sector leader  |  Orange = Lagging  | All ratios calculated from Raw Data sheet</t>
  </si>
  <si>
    <t>Data flows from Peer Comparisons |  Green = Best-in-class  |  Orange = Lagging</t>
  </si>
</sst>
</file>

<file path=xl/styles.xml><?xml version="1.0" encoding="utf-8"?>
<styleSheet xmlns="http://schemas.openxmlformats.org/spreadsheetml/2006/main">
  <numFmts count="1">
    <numFmt numFmtId="164" formatCode="&quot;₹&quot;\ #,##0.0;&quot;₹&quot;\ \(#,##0.0\)"/>
  </numFmts>
  <fonts count="18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70C0"/>
      <name val="Calibri"/>
      <family val="2"/>
      <charset val="1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theme="6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5">
    <xf numFmtId="0" fontId="0" fillId="0" borderId="0" xfId="0"/>
    <xf numFmtId="0" fontId="3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0" fontId="7" fillId="3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4" fontId="7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10" fontId="7" fillId="10" borderId="0" xfId="0" applyNumberFormat="1" applyFont="1" applyFill="1" applyAlignment="1">
      <alignment horizontal="center" vertical="center"/>
    </xf>
    <xf numFmtId="4" fontId="7" fillId="10" borderId="0" xfId="0" applyNumberFormat="1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right" vertical="center"/>
    </xf>
    <xf numFmtId="164" fontId="12" fillId="0" borderId="0" xfId="0" applyNumberFormat="1" applyFont="1" applyAlignment="1">
      <alignment horizontal="right"/>
    </xf>
    <xf numFmtId="164" fontId="8" fillId="3" borderId="0" xfId="0" applyNumberFormat="1" applyFont="1" applyFill="1" applyAlignment="1">
      <alignment horizontal="right" vertical="center"/>
    </xf>
    <xf numFmtId="164" fontId="13" fillId="3" borderId="0" xfId="0" applyNumberFormat="1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10" fontId="8" fillId="3" borderId="0" xfId="1" applyNumberFormat="1" applyFont="1" applyFill="1" applyAlignment="1">
      <alignment horizontal="right" vertical="center"/>
    </xf>
    <xf numFmtId="10" fontId="0" fillId="0" borderId="0" xfId="1" applyNumberFormat="1" applyFont="1"/>
    <xf numFmtId="10" fontId="7" fillId="11" borderId="0" xfId="0" applyNumberFormat="1" applyFont="1" applyFill="1" applyAlignment="1">
      <alignment horizontal="center" vertical="center"/>
    </xf>
    <xf numFmtId="10" fontId="9" fillId="12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4" fontId="7" fillId="11" borderId="0" xfId="0" applyNumberFormat="1" applyFont="1" applyFill="1" applyAlignment="1">
      <alignment horizontal="center" vertical="center"/>
    </xf>
    <xf numFmtId="10" fontId="11" fillId="9" borderId="0" xfId="0" applyNumberFormat="1" applyFont="1" applyFill="1" applyAlignment="1">
      <alignment horizontal="center" vertical="center"/>
    </xf>
    <xf numFmtId="4" fontId="11" fillId="9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/>
    </xf>
    <xf numFmtId="0" fontId="7" fillId="7" borderId="0" xfId="0" applyFont="1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16" fillId="4" borderId="0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10" fontId="17" fillId="13" borderId="0" xfId="0" applyNumberFormat="1" applyFont="1" applyFill="1" applyAlignment="1">
      <alignment horizontal="center" vertical="center"/>
    </xf>
    <xf numFmtId="10" fontId="11" fillId="13" borderId="0" xfId="0" applyNumberFormat="1" applyFont="1" applyFill="1" applyAlignment="1">
      <alignment horizontal="center" vertical="center"/>
    </xf>
    <xf numFmtId="10" fontId="14" fillId="14" borderId="0" xfId="0" applyNumberFormat="1" applyFont="1" applyFill="1" applyAlignment="1">
      <alignment horizontal="center" vertical="center"/>
    </xf>
    <xf numFmtId="10" fontId="7" fillId="14" borderId="0" xfId="0" applyNumberFormat="1" applyFont="1" applyFill="1" applyAlignment="1">
      <alignment horizontal="center" vertical="center"/>
    </xf>
    <xf numFmtId="10" fontId="9" fillId="14" borderId="0" xfId="0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5"/>
  <sheetViews>
    <sheetView showGridLines="0" workbookViewId="0">
      <selection activeCell="C17" sqref="C17"/>
    </sheetView>
  </sheetViews>
  <sheetFormatPr defaultColWidth="8.7109375" defaultRowHeight="15"/>
  <cols>
    <col min="1" max="1" width="2" customWidth="1"/>
    <col min="2" max="2" width="22" customWidth="1"/>
    <col min="3" max="3" width="58" customWidth="1"/>
  </cols>
  <sheetData>
    <row r="1" spans="2:3" ht="16.5">
      <c r="B1" s="33" t="s">
        <v>63</v>
      </c>
      <c r="C1" s="33"/>
    </row>
    <row r="2" spans="2:3">
      <c r="B2" s="34" t="s">
        <v>0</v>
      </c>
      <c r="C2" s="34"/>
    </row>
    <row r="4" spans="2:3" ht="39.75" customHeight="1">
      <c r="B4" s="1" t="s">
        <v>1</v>
      </c>
      <c r="C4" s="35" t="s">
        <v>2</v>
      </c>
    </row>
    <row r="5" spans="2:3">
      <c r="B5" s="1"/>
      <c r="C5" s="35"/>
    </row>
    <row r="7" spans="2:3" ht="39.75" customHeight="1">
      <c r="B7" s="1" t="s">
        <v>3</v>
      </c>
      <c r="C7" s="35" t="s">
        <v>4</v>
      </c>
    </row>
    <row r="8" spans="2:3">
      <c r="B8" s="1"/>
      <c r="C8" s="35"/>
    </row>
    <row r="10" spans="2:3" ht="39.75" customHeight="1">
      <c r="B10" s="1" t="s">
        <v>5</v>
      </c>
      <c r="C10" s="2" t="s">
        <v>64</v>
      </c>
    </row>
    <row r="13" spans="2:3" ht="39.75" customHeight="1">
      <c r="B13" s="1" t="s">
        <v>6</v>
      </c>
      <c r="C13" s="3" t="s">
        <v>7</v>
      </c>
    </row>
    <row r="15" spans="2:3" ht="39.75" customHeight="1">
      <c r="B15" s="1" t="s">
        <v>8</v>
      </c>
      <c r="C15" s="4" t="s">
        <v>9</v>
      </c>
    </row>
  </sheetData>
  <mergeCells count="4">
    <mergeCell ref="B1:C1"/>
    <mergeCell ref="B2:C2"/>
    <mergeCell ref="C7:C8"/>
    <mergeCell ref="C4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B1:K30"/>
  <sheetViews>
    <sheetView showGridLines="0" zoomScale="90" zoomScaleNormal="90" workbookViewId="0">
      <selection activeCell="K20" sqref="K20"/>
    </sheetView>
  </sheetViews>
  <sheetFormatPr defaultColWidth="8.7109375" defaultRowHeight="15"/>
  <cols>
    <col min="1" max="1" width="2" customWidth="1"/>
    <col min="2" max="2" width="30" customWidth="1"/>
    <col min="3" max="3" width="14.85546875" customWidth="1"/>
    <col min="4" max="6" width="14" customWidth="1"/>
  </cols>
  <sheetData>
    <row r="1" spans="2:6" ht="15.75">
      <c r="B1" s="38" t="s">
        <v>65</v>
      </c>
      <c r="C1" s="38"/>
      <c r="D1" s="38"/>
      <c r="E1" s="38"/>
      <c r="F1" s="38"/>
    </row>
    <row r="2" spans="2:6">
      <c r="B2" s="39" t="s">
        <v>10</v>
      </c>
      <c r="C2" s="39"/>
      <c r="D2" s="39"/>
      <c r="E2" s="39"/>
      <c r="F2" s="39"/>
    </row>
    <row r="4" spans="2:6"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spans="2:6">
      <c r="B5" s="40" t="s">
        <v>16</v>
      </c>
      <c r="C5" s="40"/>
      <c r="D5" s="40"/>
      <c r="E5" s="40"/>
      <c r="F5" s="40"/>
    </row>
    <row r="6" spans="2:6">
      <c r="B6" s="6" t="s">
        <v>17</v>
      </c>
      <c r="C6" s="20">
        <v>122670.1</v>
      </c>
      <c r="D6" s="21">
        <v>81165</v>
      </c>
      <c r="E6" s="21">
        <v>54348</v>
      </c>
      <c r="F6" s="21">
        <v>28342</v>
      </c>
    </row>
    <row r="7" spans="2:6">
      <c r="B7" s="6" t="s">
        <v>75</v>
      </c>
      <c r="C7" s="20">
        <v>45632.28</v>
      </c>
      <c r="D7" s="21">
        <v>28506.7</v>
      </c>
      <c r="E7" s="21">
        <v>25257</v>
      </c>
      <c r="F7" s="21">
        <v>14961.13</v>
      </c>
    </row>
    <row r="8" spans="2:6">
      <c r="B8" s="18" t="s">
        <v>18</v>
      </c>
      <c r="C8" s="22">
        <f>SUM(C6:C7)</f>
        <v>168302.38</v>
      </c>
      <c r="D8" s="22">
        <f>SUM(D6:D7)</f>
        <v>109671.7</v>
      </c>
      <c r="E8" s="22">
        <f>SUM(E6:E7)</f>
        <v>79605</v>
      </c>
      <c r="F8" s="22">
        <f>SUM(F6:F7)</f>
        <v>43303.13</v>
      </c>
    </row>
    <row r="9" spans="2:6">
      <c r="B9" s="6" t="s">
        <v>19</v>
      </c>
      <c r="C9" s="20">
        <v>68174.880000000005</v>
      </c>
      <c r="D9" s="21">
        <v>42372</v>
      </c>
      <c r="E9" s="21">
        <v>37500</v>
      </c>
      <c r="F9" s="21">
        <v>18776.439999999999</v>
      </c>
    </row>
    <row r="10" spans="2:6">
      <c r="B10" s="18" t="s">
        <v>20</v>
      </c>
      <c r="C10" s="22">
        <f>C8-C9</f>
        <v>100127.5</v>
      </c>
      <c r="D10" s="22">
        <f>D8-D9</f>
        <v>67299.7</v>
      </c>
      <c r="E10" s="22">
        <f>E8-E9</f>
        <v>42105</v>
      </c>
      <c r="F10" s="22">
        <f>F8-F9</f>
        <v>24526.69</v>
      </c>
    </row>
    <row r="11" spans="2:6">
      <c r="B11" s="6" t="s">
        <v>21</v>
      </c>
      <c r="C11" s="23">
        <v>32780.130700000002</v>
      </c>
      <c r="D11" s="21">
        <v>4683</v>
      </c>
      <c r="E11" s="21">
        <v>7759</v>
      </c>
      <c r="F11" s="21">
        <v>2942.36</v>
      </c>
    </row>
    <row r="12" spans="2:6">
      <c r="B12" s="18" t="s">
        <v>22</v>
      </c>
      <c r="C12" s="23">
        <v>67347.358099999998</v>
      </c>
      <c r="D12" s="21">
        <v>47227</v>
      </c>
      <c r="E12" s="21">
        <v>26373</v>
      </c>
      <c r="F12" s="21">
        <v>16450.080000000002</v>
      </c>
    </row>
    <row r="14" spans="2:6">
      <c r="B14" s="40" t="s">
        <v>23</v>
      </c>
      <c r="C14" s="40"/>
      <c r="D14" s="40"/>
      <c r="E14" s="40"/>
      <c r="F14" s="40"/>
    </row>
    <row r="15" spans="2:6">
      <c r="B15" s="6" t="s">
        <v>24</v>
      </c>
      <c r="C15" s="23">
        <v>3910199</v>
      </c>
      <c r="D15" s="23">
        <v>2118240</v>
      </c>
      <c r="E15" s="23">
        <v>1609930</v>
      </c>
      <c r="F15" s="23">
        <v>879774</v>
      </c>
    </row>
    <row r="16" spans="2:6">
      <c r="B16" s="6" t="s">
        <v>25</v>
      </c>
      <c r="C16" s="23">
        <v>2619609</v>
      </c>
      <c r="D16" s="23">
        <v>1341766</v>
      </c>
      <c r="E16" s="23">
        <v>1040811</v>
      </c>
      <c r="F16" s="23">
        <v>426909.2</v>
      </c>
    </row>
    <row r="17" spans="2:11">
      <c r="B17" s="6" t="s">
        <v>26</v>
      </c>
      <c r="C17" s="23">
        <v>2714714.9</v>
      </c>
      <c r="D17" s="23">
        <v>1610348</v>
      </c>
      <c r="E17" s="23">
        <v>1172952</v>
      </c>
      <c r="F17" s="23">
        <v>494707</v>
      </c>
    </row>
    <row r="18" spans="2:11">
      <c r="B18" s="6" t="s">
        <v>27</v>
      </c>
      <c r="C18" s="23">
        <v>944600</v>
      </c>
      <c r="D18" s="23">
        <v>673729</v>
      </c>
      <c r="E18" s="23">
        <v>478188</v>
      </c>
      <c r="F18" s="23">
        <v>214415.89</v>
      </c>
    </row>
    <row r="19" spans="2:11">
      <c r="B19" s="6" t="s">
        <v>28</v>
      </c>
      <c r="C19" s="23">
        <v>501424.6</v>
      </c>
      <c r="D19" s="23">
        <v>292076</v>
      </c>
      <c r="E19" s="23">
        <v>178617</v>
      </c>
      <c r="F19" s="23">
        <v>157395</v>
      </c>
    </row>
    <row r="20" spans="2:11">
      <c r="B20" s="24" t="s">
        <v>39</v>
      </c>
      <c r="C20" s="25">
        <v>1.3299999999999999E-2</v>
      </c>
      <c r="D20" s="25">
        <v>1.7299999999999999E-2</v>
      </c>
      <c r="E20" s="25">
        <v>1.2800000000000001E-2</v>
      </c>
      <c r="F20" s="25">
        <v>1.4E-2</v>
      </c>
      <c r="K20" s="26"/>
    </row>
    <row r="21" spans="2:11">
      <c r="B21" s="24" t="s">
        <v>40</v>
      </c>
      <c r="C21" s="25">
        <v>4.3E-3</v>
      </c>
      <c r="D21" s="25">
        <v>3.8999999999999998E-3</v>
      </c>
      <c r="E21" s="25">
        <v>3.3E-3</v>
      </c>
      <c r="F21" s="25">
        <v>4.0000000000000001E-3</v>
      </c>
    </row>
    <row r="23" spans="2:11">
      <c r="B23" s="40" t="s">
        <v>29</v>
      </c>
      <c r="C23" s="40"/>
      <c r="D23" s="40"/>
      <c r="E23" s="40"/>
      <c r="F23" s="40"/>
    </row>
    <row r="24" spans="2:11">
      <c r="B24" s="6" t="s">
        <v>30</v>
      </c>
      <c r="C24" s="19">
        <v>9455</v>
      </c>
      <c r="D24" s="19">
        <v>6983</v>
      </c>
      <c r="E24" s="19">
        <v>5879</v>
      </c>
      <c r="F24" s="19">
        <v>2148</v>
      </c>
    </row>
    <row r="25" spans="2:11">
      <c r="B25" s="24" t="s">
        <v>31</v>
      </c>
      <c r="C25" s="23">
        <v>2660003.89</v>
      </c>
      <c r="D25" s="23">
        <v>1611104.4</v>
      </c>
      <c r="E25" s="23">
        <v>1154074.6499999999</v>
      </c>
      <c r="F25" s="23">
        <v>519614.54</v>
      </c>
    </row>
    <row r="26" spans="2:11">
      <c r="B26" s="24" t="s">
        <v>43</v>
      </c>
      <c r="C26" s="25">
        <v>0.1769</v>
      </c>
      <c r="D26" s="25">
        <v>0.15939999999999999</v>
      </c>
      <c r="E26" s="25">
        <v>0.1507</v>
      </c>
      <c r="F26" s="25">
        <v>0.21099999999999999</v>
      </c>
    </row>
    <row r="28" spans="2:11" ht="15" customHeight="1">
      <c r="B28" s="36" t="s">
        <v>76</v>
      </c>
      <c r="C28" s="37"/>
      <c r="D28" s="37"/>
      <c r="E28" s="37"/>
      <c r="F28" s="37"/>
      <c r="G28" s="37"/>
    </row>
    <row r="29" spans="2:11">
      <c r="B29" s="37"/>
      <c r="C29" s="37"/>
      <c r="D29" s="37"/>
      <c r="E29" s="37"/>
      <c r="F29" s="37"/>
      <c r="G29" s="37"/>
    </row>
    <row r="30" spans="2:11">
      <c r="B30" s="37"/>
      <c r="C30" s="37"/>
      <c r="D30" s="37"/>
      <c r="E30" s="37"/>
      <c r="F30" s="37"/>
      <c r="G30" s="37"/>
    </row>
  </sheetData>
  <mergeCells count="6">
    <mergeCell ref="B28:G30"/>
    <mergeCell ref="B1:F1"/>
    <mergeCell ref="B2:F2"/>
    <mergeCell ref="B5:F5"/>
    <mergeCell ref="B14:F14"/>
    <mergeCell ref="B23:F2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L11"/>
  <sheetViews>
    <sheetView showGridLines="0" workbookViewId="0">
      <selection activeCell="E11" sqref="E11"/>
    </sheetView>
  </sheetViews>
  <sheetFormatPr defaultColWidth="8.7109375" defaultRowHeight="15"/>
  <cols>
    <col min="1" max="1" width="2" customWidth="1"/>
    <col min="2" max="2" width="30" customWidth="1"/>
    <col min="3" max="6" width="12" customWidth="1"/>
    <col min="7" max="7" width="14" customWidth="1"/>
    <col min="8" max="8" width="34" customWidth="1"/>
  </cols>
  <sheetData>
    <row r="1" spans="2:12" ht="15.75">
      <c r="B1" s="38" t="s">
        <v>44</v>
      </c>
      <c r="C1" s="38"/>
      <c r="D1" s="38"/>
      <c r="E1" s="38"/>
      <c r="F1" s="38"/>
      <c r="G1" s="38"/>
      <c r="H1" s="38"/>
    </row>
    <row r="2" spans="2:12">
      <c r="B2" s="49" t="s">
        <v>102</v>
      </c>
      <c r="C2" s="41"/>
      <c r="D2" s="41"/>
      <c r="E2" s="41"/>
      <c r="F2" s="41"/>
      <c r="G2" s="41"/>
      <c r="H2" s="41"/>
    </row>
    <row r="4" spans="2:12">
      <c r="B4" s="5" t="s">
        <v>32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</row>
    <row r="5" spans="2:12" ht="27.75" customHeight="1">
      <c r="B5" s="10" t="s">
        <v>51</v>
      </c>
      <c r="C5" s="52">
        <f>3.48%</f>
        <v>3.4799999999999998E-2</v>
      </c>
      <c r="D5" s="29">
        <f>4.32%</f>
        <v>4.3200000000000002E-2</v>
      </c>
      <c r="E5" s="29">
        <f>3.98%</f>
        <v>3.9800000000000002E-2</v>
      </c>
      <c r="F5" s="50">
        <f>4.96%</f>
        <v>4.9599999999999998E-2</v>
      </c>
      <c r="G5" s="11" t="str">
        <f>'KPI Dashboard'!F4</f>
        <v>Kotak Mah.</v>
      </c>
      <c r="H5" s="12" t="s">
        <v>72</v>
      </c>
      <c r="I5" s="12"/>
      <c r="J5" s="12"/>
      <c r="K5" s="12"/>
      <c r="L5" s="12"/>
    </row>
    <row r="6" spans="2:12" ht="27.75" customHeight="1">
      <c r="B6" s="10" t="s">
        <v>52</v>
      </c>
      <c r="C6" s="16">
        <f>'Raw Data'!C12/'Raw Data'!C15</f>
        <v>1.7223511667820487E-2</v>
      </c>
      <c r="D6" s="31">
        <f>'Raw Data'!D12/'Raw Data'!D15</f>
        <v>2.2295396177959059E-2</v>
      </c>
      <c r="E6" s="13">
        <f>'Raw Data'!E12/'Raw Data'!E15</f>
        <v>1.6381457578900947E-2</v>
      </c>
      <c r="F6" s="7">
        <f>'Raw Data'!F12/'Raw Data'!F15</f>
        <v>1.8698074732829115E-2</v>
      </c>
      <c r="G6" s="11" t="str">
        <f>'KPI Dashboard'!D4</f>
        <v>ICICI Bank</v>
      </c>
      <c r="H6" s="17" t="s">
        <v>98</v>
      </c>
    </row>
    <row r="7" spans="2:12" ht="27.75" customHeight="1">
      <c r="B7" s="10" t="s">
        <v>53</v>
      </c>
      <c r="C7" s="27">
        <f>'Raw Data'!C12/'Raw Data'!C19</f>
        <v>0.13431203435172506</v>
      </c>
      <c r="D7" s="31">
        <f>'Raw Data'!D12/'Raw Data'!D19</f>
        <v>0.16169421657376848</v>
      </c>
      <c r="E7" s="27">
        <f>'Raw Data'!E12/'Raw Data'!E19</f>
        <v>0.14765111943432035</v>
      </c>
      <c r="F7" s="13">
        <f>'Raw Data'!F12/'Raw Data'!F19</f>
        <v>0.1045146288001525</v>
      </c>
      <c r="G7" s="11" t="str">
        <f>'KPI Dashboard'!D4</f>
        <v>ICICI Bank</v>
      </c>
      <c r="H7" s="17" t="s">
        <v>99</v>
      </c>
    </row>
    <row r="8" spans="2:12" ht="27.75" customHeight="1">
      <c r="B8" s="10" t="s">
        <v>54</v>
      </c>
      <c r="C8" s="7">
        <f>'Raw Data'!C9/'Raw Data'!C8</f>
        <v>0.40507377257528981</v>
      </c>
      <c r="D8" s="31">
        <f>'Raw Data'!D9/'Raw Data'!D8</f>
        <v>0.38635308835369564</v>
      </c>
      <c r="E8" s="13">
        <f>'Raw Data'!E9/'Raw Data'!E8</f>
        <v>0.47107593744111553</v>
      </c>
      <c r="F8" s="7">
        <f>'Raw Data'!F9/'Raw Data'!F8</f>
        <v>0.43360468400321178</v>
      </c>
      <c r="G8" s="11" t="str">
        <f>'KPI Dashboard'!D4</f>
        <v>ICICI Bank</v>
      </c>
      <c r="H8" s="8" t="s">
        <v>73</v>
      </c>
    </row>
    <row r="9" spans="2:12" ht="27.75" customHeight="1">
      <c r="B9" s="10" t="s">
        <v>55</v>
      </c>
      <c r="C9" s="7">
        <f>'Raw Data'!C20</f>
        <v>1.3299999999999999E-2</v>
      </c>
      <c r="D9" s="13">
        <f>'Raw Data'!D20</f>
        <v>1.7299999999999999E-2</v>
      </c>
      <c r="E9" s="31">
        <f>'Raw Data'!E20</f>
        <v>1.2800000000000001E-2</v>
      </c>
      <c r="F9" s="7">
        <f>'Raw Data'!F20</f>
        <v>1.4E-2</v>
      </c>
      <c r="G9" s="11" t="str">
        <f>'KPI Dashboard'!E4</f>
        <v>Axis Bank</v>
      </c>
      <c r="H9" s="17" t="s">
        <v>100</v>
      </c>
    </row>
    <row r="10" spans="2:12" ht="27.75" customHeight="1">
      <c r="B10" s="10" t="s">
        <v>56</v>
      </c>
      <c r="C10" s="54">
        <f>'Raw Data'!C18/'Raw Data'!C17</f>
        <v>0.34795550722471819</v>
      </c>
      <c r="D10" s="28">
        <f>'Raw Data'!D18/'Raw Data'!D17</f>
        <v>0.41837478607108525</v>
      </c>
      <c r="E10" s="28">
        <f>'Raw Data'!E18/'Raw Data'!E17</f>
        <v>0.40767908661223989</v>
      </c>
      <c r="F10" s="51">
        <f>'Raw Data'!F18/'Raw Data'!F17</f>
        <v>0.43341996373611047</v>
      </c>
      <c r="G10" s="11" t="str">
        <f>'KPI Dashboard'!F4</f>
        <v>Kotak Mah.</v>
      </c>
      <c r="H10" s="17" t="s">
        <v>101</v>
      </c>
    </row>
    <row r="11" spans="2:12" ht="27.75" customHeight="1">
      <c r="B11" s="10" t="s">
        <v>57</v>
      </c>
      <c r="C11" s="15">
        <f>'Raw Data'!C26</f>
        <v>0.1769</v>
      </c>
      <c r="D11" s="15">
        <f>'Raw Data'!D26</f>
        <v>0.15939999999999999</v>
      </c>
      <c r="E11" s="53">
        <f>'Raw Data'!E26</f>
        <v>0.1507</v>
      </c>
      <c r="F11" s="51">
        <f>'Raw Data'!F26</f>
        <v>0.21099999999999999</v>
      </c>
      <c r="G11" s="11" t="str">
        <f>'KPI Dashboard'!F4</f>
        <v>Kotak Mah.</v>
      </c>
      <c r="H11" s="8" t="s">
        <v>74</v>
      </c>
    </row>
  </sheetData>
  <mergeCells count="2">
    <mergeCell ref="B1:H1"/>
    <mergeCell ref="B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G19"/>
  <sheetViews>
    <sheetView showGridLines="0" workbookViewId="0">
      <selection activeCell="B2" sqref="B2:G2"/>
    </sheetView>
  </sheetViews>
  <sheetFormatPr defaultColWidth="8.7109375" defaultRowHeight="15"/>
  <cols>
    <col min="1" max="1" width="2" customWidth="1"/>
    <col min="2" max="2" width="32" customWidth="1"/>
    <col min="3" max="6" width="14" customWidth="1"/>
    <col min="7" max="7" width="26" customWidth="1"/>
  </cols>
  <sheetData>
    <row r="1" spans="2:7" ht="15.75">
      <c r="B1" s="38" t="s">
        <v>71</v>
      </c>
      <c r="C1" s="38"/>
      <c r="D1" s="38"/>
      <c r="E1" s="38"/>
      <c r="F1" s="38"/>
      <c r="G1" s="38"/>
    </row>
    <row r="2" spans="2:7">
      <c r="B2" s="49" t="s">
        <v>103</v>
      </c>
      <c r="C2" s="41"/>
      <c r="D2" s="41"/>
      <c r="E2" s="41"/>
      <c r="F2" s="41"/>
      <c r="G2" s="41"/>
    </row>
    <row r="4" spans="2:7">
      <c r="B4" s="5" t="s">
        <v>32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33</v>
      </c>
    </row>
    <row r="5" spans="2:7">
      <c r="B5" s="40" t="s">
        <v>66</v>
      </c>
      <c r="C5" s="40"/>
      <c r="D5" s="40"/>
      <c r="E5" s="40"/>
      <c r="F5" s="40"/>
      <c r="G5" s="40"/>
    </row>
    <row r="6" spans="2:7">
      <c r="B6" s="6" t="s">
        <v>34</v>
      </c>
      <c r="C6" s="13">
        <f>'Peer Comparison'!C5</f>
        <v>3.4799999999999998E-2</v>
      </c>
      <c r="D6" s="7">
        <f>'Peer Comparison'!D5</f>
        <v>4.3200000000000002E-2</v>
      </c>
      <c r="E6" s="7">
        <f>'Peer Comparison'!E5</f>
        <v>3.9800000000000002E-2</v>
      </c>
      <c r="F6" s="31">
        <f>'Peer Comparison'!F5</f>
        <v>4.9599999999999998E-2</v>
      </c>
      <c r="G6" s="8" t="s">
        <v>85</v>
      </c>
    </row>
    <row r="7" spans="2:7">
      <c r="B7" s="6" t="s">
        <v>35</v>
      </c>
      <c r="C7" s="7">
        <f>'Peer Comparison'!C6</f>
        <v>1.7223511667820487E-2</v>
      </c>
      <c r="D7" s="31">
        <f>'Peer Comparison'!D6</f>
        <v>2.2295396177959059E-2</v>
      </c>
      <c r="E7" s="13">
        <f>'Peer Comparison'!E6</f>
        <v>1.6381457578900947E-2</v>
      </c>
      <c r="F7" s="7">
        <f>'Peer Comparison'!F6</f>
        <v>1.8698074732829115E-2</v>
      </c>
      <c r="G7" s="8" t="s">
        <v>77</v>
      </c>
    </row>
    <row r="8" spans="2:7">
      <c r="B8" s="6" t="s">
        <v>36</v>
      </c>
      <c r="C8" s="27">
        <f>'Peer Comparison'!C7</f>
        <v>0.13431203435172506</v>
      </c>
      <c r="D8" s="31">
        <f>'Peer Comparison'!D7</f>
        <v>0.16169421657376848</v>
      </c>
      <c r="E8" s="27">
        <f>'Peer Comparison'!E7</f>
        <v>0.14765111943432035</v>
      </c>
      <c r="F8" s="13">
        <f>'Peer Comparison'!F7</f>
        <v>0.1045146288001525</v>
      </c>
      <c r="G8" s="8" t="s">
        <v>78</v>
      </c>
    </row>
    <row r="9" spans="2:7">
      <c r="B9" s="40" t="s">
        <v>67</v>
      </c>
      <c r="C9" s="40"/>
      <c r="D9" s="40"/>
      <c r="E9" s="40"/>
      <c r="F9" s="40"/>
      <c r="G9" s="40"/>
    </row>
    <row r="10" spans="2:7">
      <c r="B10" s="6" t="s">
        <v>37</v>
      </c>
      <c r="C10" s="7">
        <f>'Raw Data'!C9/'Raw Data'!C8</f>
        <v>0.40507377257528981</v>
      </c>
      <c r="D10" s="31">
        <f>'Raw Data'!D9/'Raw Data'!D8</f>
        <v>0.38635308835369564</v>
      </c>
      <c r="E10" s="13">
        <f>'Raw Data'!E9/'Raw Data'!E8</f>
        <v>0.47107593744111553</v>
      </c>
      <c r="F10" s="7">
        <f>'Raw Data'!F9/'Raw Data'!F8</f>
        <v>0.43360468400321178</v>
      </c>
      <c r="G10" s="8" t="s">
        <v>79</v>
      </c>
    </row>
    <row r="11" spans="2:7">
      <c r="B11" s="6" t="s">
        <v>38</v>
      </c>
      <c r="C11" s="9">
        <f>'Raw Data'!C9/'Raw Data'!C24</f>
        <v>7.2104579587519835</v>
      </c>
      <c r="D11" s="32">
        <f>'Raw Data'!D9/'Raw Data'!D24</f>
        <v>6.0678791350422454</v>
      </c>
      <c r="E11" s="30">
        <f>'Raw Data'!E9/'Raw Data'!E24</f>
        <v>6.3786358224187785</v>
      </c>
      <c r="F11" s="14">
        <f>'Raw Data'!F9/'Raw Data'!F24</f>
        <v>8.7413594040968334</v>
      </c>
      <c r="G11" s="8" t="s">
        <v>80</v>
      </c>
    </row>
    <row r="12" spans="2:7">
      <c r="B12" s="42" t="s">
        <v>68</v>
      </c>
      <c r="C12" s="42"/>
      <c r="D12" s="42"/>
      <c r="E12" s="42"/>
      <c r="F12" s="42"/>
      <c r="G12" s="42"/>
    </row>
    <row r="13" spans="2:7">
      <c r="B13" s="6" t="s">
        <v>39</v>
      </c>
      <c r="C13" s="7">
        <f>'Peer Comparison'!C9</f>
        <v>1.3299999999999999E-2</v>
      </c>
      <c r="D13" s="13">
        <f>'Peer Comparison'!D9</f>
        <v>1.7299999999999999E-2</v>
      </c>
      <c r="E13" s="31">
        <f>'Peer Comparison'!E9</f>
        <v>1.2800000000000001E-2</v>
      </c>
      <c r="F13" s="7">
        <f>'Peer Comparison'!F9</f>
        <v>1.4E-2</v>
      </c>
      <c r="G13" s="8" t="s">
        <v>86</v>
      </c>
    </row>
    <row r="14" spans="2:7">
      <c r="B14" s="6" t="s">
        <v>40</v>
      </c>
      <c r="C14" s="13">
        <f>'Raw Data'!C21</f>
        <v>4.3E-3</v>
      </c>
      <c r="D14" s="7">
        <f>'Raw Data'!D21</f>
        <v>3.8999999999999998E-3</v>
      </c>
      <c r="E14" s="31">
        <f>'Raw Data'!E21</f>
        <v>3.3E-3</v>
      </c>
      <c r="F14" s="7">
        <f>'Raw Data'!F21</f>
        <v>4.0000000000000001E-3</v>
      </c>
      <c r="G14" s="8" t="s">
        <v>81</v>
      </c>
    </row>
    <row r="15" spans="2:7">
      <c r="B15" s="40" t="s">
        <v>69</v>
      </c>
      <c r="C15" s="40"/>
      <c r="D15" s="40"/>
      <c r="E15" s="40"/>
      <c r="F15" s="40"/>
      <c r="G15" s="40"/>
    </row>
    <row r="16" spans="2:7">
      <c r="B16" s="6" t="s">
        <v>41</v>
      </c>
      <c r="C16" s="13">
        <f>'Peer Comparison'!C10</f>
        <v>0.34795550722471819</v>
      </c>
      <c r="D16" s="27">
        <f>'Peer Comparison'!D10</f>
        <v>0.41837478607108525</v>
      </c>
      <c r="E16" s="27">
        <f>'Peer Comparison'!E10</f>
        <v>0.40767908661223989</v>
      </c>
      <c r="F16" s="31">
        <f>'Peer Comparison'!F10</f>
        <v>0.43341996373611047</v>
      </c>
      <c r="G16" s="8" t="s">
        <v>82</v>
      </c>
    </row>
    <row r="17" spans="2:7">
      <c r="B17" s="6" t="s">
        <v>42</v>
      </c>
      <c r="C17" s="7">
        <f>'Raw Data'!C16/'Raw Data'!C17</f>
        <v>0.96496652374066982</v>
      </c>
      <c r="D17" s="7">
        <f>'Raw Data'!D16/'Raw Data'!D17</f>
        <v>0.83321493242454425</v>
      </c>
      <c r="E17" s="7">
        <f>'Raw Data'!E16/'Raw Data'!E17</f>
        <v>0.88734321609068401</v>
      </c>
      <c r="F17" s="7">
        <f>'Raw Data'!F16/'Raw Data'!F17</f>
        <v>0.86295362709644297</v>
      </c>
      <c r="G17" s="8" t="s">
        <v>83</v>
      </c>
    </row>
    <row r="18" spans="2:7">
      <c r="B18" s="40" t="s">
        <v>70</v>
      </c>
      <c r="C18" s="40"/>
      <c r="D18" s="40"/>
      <c r="E18" s="40"/>
      <c r="F18" s="40"/>
      <c r="G18" s="40"/>
    </row>
    <row r="19" spans="2:7">
      <c r="B19" s="6" t="s">
        <v>43</v>
      </c>
      <c r="C19" s="7">
        <f>'Peer Comparison'!C11</f>
        <v>0.1769</v>
      </c>
      <c r="D19" s="7">
        <f>'Peer Comparison'!D11</f>
        <v>0.15939999999999999</v>
      </c>
      <c r="E19" s="13">
        <f>'Peer Comparison'!E11</f>
        <v>0.1507</v>
      </c>
      <c r="F19" s="31">
        <f>'Peer Comparison'!F11</f>
        <v>0.21099999999999999</v>
      </c>
      <c r="G19" s="8" t="s">
        <v>84</v>
      </c>
    </row>
  </sheetData>
  <mergeCells count="7">
    <mergeCell ref="B15:G15"/>
    <mergeCell ref="B18:G18"/>
    <mergeCell ref="B1:G1"/>
    <mergeCell ref="B2:G2"/>
    <mergeCell ref="B5:G5"/>
    <mergeCell ref="B9:G9"/>
    <mergeCell ref="B12:G1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C23"/>
  <sheetViews>
    <sheetView showGridLines="0" tabSelected="1" workbookViewId="0">
      <selection activeCell="E23" sqref="E23"/>
    </sheetView>
  </sheetViews>
  <sheetFormatPr defaultColWidth="8.7109375" defaultRowHeight="15"/>
  <cols>
    <col min="1" max="1" width="2" customWidth="1"/>
    <col min="2" max="2" width="20" customWidth="1"/>
    <col min="3" max="3" width="80" customWidth="1"/>
  </cols>
  <sheetData>
    <row r="1" spans="2:3" ht="15.75">
      <c r="B1" s="38" t="s">
        <v>62</v>
      </c>
      <c r="C1" s="38"/>
    </row>
    <row r="2" spans="2:3">
      <c r="B2" s="41" t="s">
        <v>58</v>
      </c>
      <c r="C2" s="41"/>
    </row>
    <row r="4" spans="2:3">
      <c r="B4" s="43" t="s">
        <v>59</v>
      </c>
      <c r="C4" s="43"/>
    </row>
    <row r="5" spans="2:3" ht="129.75" customHeight="1">
      <c r="B5" s="47" t="s">
        <v>87</v>
      </c>
      <c r="C5" s="44"/>
    </row>
    <row r="6" spans="2:3" ht="7.5" customHeight="1">
      <c r="B6" s="45"/>
      <c r="C6" s="45"/>
    </row>
    <row r="7" spans="2:3">
      <c r="B7" s="48" t="s">
        <v>88</v>
      </c>
      <c r="C7" s="43"/>
    </row>
    <row r="8" spans="2:3" ht="129.75" customHeight="1">
      <c r="B8" s="47" t="s">
        <v>89</v>
      </c>
      <c r="C8" s="44"/>
    </row>
    <row r="9" spans="2:3" ht="7.5" customHeight="1">
      <c r="B9" s="45"/>
      <c r="C9" s="45"/>
    </row>
    <row r="10" spans="2:3">
      <c r="B10" s="48" t="s">
        <v>90</v>
      </c>
      <c r="C10" s="43"/>
    </row>
    <row r="11" spans="2:3" ht="129.75" customHeight="1">
      <c r="B11" s="47" t="s">
        <v>91</v>
      </c>
      <c r="C11" s="44"/>
    </row>
    <row r="12" spans="2:3" ht="7.5" customHeight="1">
      <c r="B12" s="45"/>
      <c r="C12" s="45"/>
    </row>
    <row r="13" spans="2:3">
      <c r="B13" s="48" t="s">
        <v>92</v>
      </c>
      <c r="C13" s="43"/>
    </row>
    <row r="14" spans="2:3" ht="129.75" customHeight="1">
      <c r="B14" s="47" t="s">
        <v>93</v>
      </c>
      <c r="C14" s="44"/>
    </row>
    <row r="15" spans="2:3" ht="7.5" customHeight="1">
      <c r="B15" s="45"/>
      <c r="C15" s="45"/>
    </row>
    <row r="16" spans="2:3">
      <c r="B16" s="48" t="s">
        <v>94</v>
      </c>
      <c r="C16" s="43"/>
    </row>
    <row r="17" spans="2:3" ht="129.75" customHeight="1">
      <c r="B17" s="47" t="s">
        <v>95</v>
      </c>
      <c r="C17" s="44"/>
    </row>
    <row r="18" spans="2:3" ht="7.5" customHeight="1">
      <c r="B18" s="45"/>
      <c r="C18" s="45"/>
    </row>
    <row r="19" spans="2:3">
      <c r="B19" s="48" t="s">
        <v>96</v>
      </c>
      <c r="C19" s="43"/>
    </row>
    <row r="20" spans="2:3" ht="129.75" customHeight="1">
      <c r="B20" s="47" t="s">
        <v>97</v>
      </c>
      <c r="C20" s="44"/>
    </row>
    <row r="21" spans="2:3" ht="7.5" customHeight="1">
      <c r="B21" s="45"/>
      <c r="C21" s="45"/>
    </row>
    <row r="22" spans="2:3">
      <c r="B22" s="43" t="s">
        <v>60</v>
      </c>
      <c r="C22" s="43"/>
    </row>
    <row r="23" spans="2:3" ht="129.75" customHeight="1">
      <c r="B23" s="46" t="s">
        <v>61</v>
      </c>
      <c r="C23" s="46"/>
    </row>
  </sheetData>
  <mergeCells count="22">
    <mergeCell ref="B22:C22"/>
    <mergeCell ref="B23:C23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C1"/>
    <mergeCell ref="B2:C2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Data</vt:lpstr>
      <vt:lpstr>Peer Comparison</vt:lpstr>
      <vt:lpstr>KPI Dashboard</vt:lpstr>
      <vt:lpstr>Analyst 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Akanksha Giri</cp:lastModifiedBy>
  <cp:revision>0</cp:revision>
  <dcterms:created xsi:type="dcterms:W3CDTF">2026-06-11T14:17:27Z</dcterms:created>
  <dcterms:modified xsi:type="dcterms:W3CDTF">2026-06-27T15:19:01Z</dcterms:modified>
  <dc:language>en-US</dc:language>
</cp:coreProperties>
</file>